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16C56941-63A7-42DD-8BE4-FD95A6020C2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L14" i="1"/>
  <c r="M14" i="1"/>
  <c r="N14" i="1"/>
  <c r="O14" i="1"/>
  <c r="C14" i="1"/>
  <c r="C2" i="1" s="1"/>
  <c r="D14" i="1"/>
  <c r="D2" i="1" s="1"/>
  <c r="E14" i="1"/>
  <c r="E2" i="1" s="1"/>
  <c r="F14" i="1"/>
  <c r="G14" i="1"/>
  <c r="G2" i="1" s="1"/>
  <c r="H14" i="1"/>
  <c r="H2" i="1" s="1"/>
  <c r="I14" i="1"/>
  <c r="I2" i="1" s="1"/>
  <c r="J14" i="1"/>
  <c r="J2" i="1" s="1"/>
  <c r="K14" i="1"/>
  <c r="K2" i="1" s="1"/>
  <c r="B14" i="1"/>
  <c r="F2" i="1"/>
</calcChain>
</file>

<file path=xl/sharedStrings.xml><?xml version="1.0" encoding="utf-8"?>
<sst xmlns="http://schemas.openxmlformats.org/spreadsheetml/2006/main" count="44" uniqueCount="20">
  <si>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</si>
  <si>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</si>
  <si>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</si>
  <si>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</si>
  <si>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</si>
  <si>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</si>
  <si>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</si>
  <si>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</si>
  <si>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</si>
  <si>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</si>
  <si>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</si>
  <si>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</si>
  <si>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</si>
  <si>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</si>
  <si>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</si>
  <si>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</si>
  <si>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</si>
  <si>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 shapes Effi factor</t>
  </si>
  <si>
    <t>5 shapes Effi factor</t>
  </si>
  <si>
    <t>1_2_3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</si>
</sst>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O21" sqref="O21"/>
    </sheetView>
  </sheetViews>
  <sheetFormatPr baseColWidth="10" defaultColWidth="8.85546875" defaultRowHeight="15" x14ac:dyDescent="0.25"/>
  <cols>
    <col min="1" max="1" width="23.140625" customWidth="1"/>
    <col min="2" max="3" width="18" customWidth="1"/>
    <col min="4" max="13" width="13" customWidth="1"/>
    <col min="14" max="1026" width="10.7109375" customWidth="1"/>
  </cols>
  <sheetData>
    <row r="1" spans="1:15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</row>
    <row r="2" spans="1:15" x14ac:dyDescent="0.25">
      <c r="A2" t="s">
        <v>1</v>
      </c>
      <c r="B2">
        <v>0</v>
      </c>
      <c r="C2" s="2">
        <f t="shared" ref="C2:K2" si="0">C14</f>
        <v>2.8000000000000001E-2</v>
      </c>
      <c r="D2" s="2">
        <f t="shared" si="0"/>
        <v>6.8000000000000005E-2</v>
      </c>
      <c r="E2" s="2">
        <f t="shared" si="0"/>
        <v>0.13400000000000001</v>
      </c>
      <c r="F2" s="2">
        <f t="shared" si="0"/>
        <v>0.23200000000000001</v>
      </c>
      <c r="G2" s="2">
        <f t="shared" si="0"/>
        <v>0.36899999999999999</v>
      </c>
      <c r="H2" s="2">
        <f t="shared" si="0"/>
        <v>0.55100000000000005</v>
      </c>
      <c r="I2" s="2">
        <f t="shared" si="0"/>
        <v>0.78500000000000003</v>
      </c>
      <c r="J2" s="2">
        <f t="shared" si="0"/>
        <v>1.077</v>
      </c>
      <c r="K2" s="2">
        <f t="shared" si="0"/>
        <v>1.4330000000000001</v>
      </c>
      <c r="L2" s="2">
        <f t="shared" ref="L2:O2" si="1">L14</f>
        <v>1.861</v>
      </c>
      <c r="M2" s="2">
        <f t="shared" si="1"/>
        <v>2.3660000000000001</v>
      </c>
      <c r="N2" s="2">
        <f t="shared" si="1"/>
        <v>2.956</v>
      </c>
      <c r="O2" s="2">
        <f t="shared" si="1"/>
        <v>3.6350000000000002</v>
      </c>
    </row>
    <row r="3" spans="1:15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</row>
    <row r="6" spans="1:15" x14ac:dyDescent="0.25">
      <c r="A6" t="s">
        <v>6</v>
      </c>
      <c r="B6">
        <v>0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</row>
    <row r="7" spans="1:15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  <c r="M9">
        <v>3500</v>
      </c>
      <c r="N9">
        <v>3500</v>
      </c>
      <c r="O9">
        <v>3500</v>
      </c>
    </row>
    <row r="12" spans="1:15" x14ac:dyDescent="0.25">
      <c r="A12" t="s">
        <v>10</v>
      </c>
      <c r="B12">
        <v>0.76566543825142397</v>
      </c>
    </row>
    <row r="13" spans="1:15" x14ac:dyDescent="0.25">
      <c r="A13" t="s">
        <v>12</v>
      </c>
      <c r="B13">
        <v>0</v>
      </c>
      <c r="C13">
        <v>6</v>
      </c>
      <c r="D13">
        <v>8</v>
      </c>
      <c r="E13">
        <v>10</v>
      </c>
      <c r="F13">
        <v>12</v>
      </c>
      <c r="G13">
        <v>14</v>
      </c>
      <c r="H13">
        <v>16</v>
      </c>
      <c r="I13">
        <v>18</v>
      </c>
      <c r="J13">
        <v>20</v>
      </c>
      <c r="K13">
        <v>22</v>
      </c>
      <c r="L13">
        <v>24</v>
      </c>
      <c r="M13">
        <v>26</v>
      </c>
      <c r="N13">
        <v>28</v>
      </c>
      <c r="O13">
        <v>30</v>
      </c>
    </row>
    <row r="14" spans="1:15" x14ac:dyDescent="0.25">
      <c r="A14" t="s">
        <v>11</v>
      </c>
      <c r="B14" s="2">
        <f>_xlfn.FLOOR.MATH(((2*$B$18*$B$12^2*(B13/1000)^3*(26.75*10^7)^2)*10^-9)-0.0001,0.001)</f>
        <v>-1E-3</v>
      </c>
      <c r="C14" s="2">
        <f t="shared" ref="C14:K14" si="2">_xlfn.FLOOR.MATH(((2*$B$18*$B$12^2*(C13/1000)^3*(26.75*10^7)^2)*10^-9)-0.0001,0.001)</f>
        <v>2.8000000000000001E-2</v>
      </c>
      <c r="D14" s="2">
        <f t="shared" si="2"/>
        <v>6.8000000000000005E-2</v>
      </c>
      <c r="E14" s="2">
        <f t="shared" si="2"/>
        <v>0.13400000000000001</v>
      </c>
      <c r="F14" s="2">
        <f t="shared" si="2"/>
        <v>0.23200000000000001</v>
      </c>
      <c r="G14" s="2">
        <f t="shared" si="2"/>
        <v>0.36899999999999999</v>
      </c>
      <c r="H14" s="2">
        <f t="shared" si="2"/>
        <v>0.55100000000000005</v>
      </c>
      <c r="I14" s="2">
        <f t="shared" si="2"/>
        <v>0.78500000000000003</v>
      </c>
      <c r="J14" s="2">
        <f t="shared" si="2"/>
        <v>1.077</v>
      </c>
      <c r="K14" s="2">
        <f t="shared" si="2"/>
        <v>1.4330000000000001</v>
      </c>
      <c r="L14" s="2">
        <f t="shared" ref="L14:O14" si="3">_xlfn.FLOOR.MATH(((2*$B$18*$B$12^2*(L13/1000)^3*(26.75*10^7)^2)*10^-9)-0.0001,0.001)</f>
        <v>1.861</v>
      </c>
      <c r="M14" s="2">
        <f t="shared" si="3"/>
        <v>2.3660000000000001</v>
      </c>
      <c r="N14" s="2">
        <f t="shared" si="3"/>
        <v>2.956</v>
      </c>
      <c r="O14" s="2">
        <f t="shared" si="3"/>
        <v>3.6350000000000002</v>
      </c>
    </row>
    <row r="15" spans="1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 x14ac:dyDescent="0.25">
      <c r="A16" t="s">
        <v>17</v>
      </c>
      <c r="B16">
        <v>5.3189247225993502E-3</v>
      </c>
    </row>
    <row r="17" spans="1:3" x14ac:dyDescent="0.25">
      <c r="A17" t="s">
        <v>16</v>
      </c>
      <c r="B17">
        <v>2.6641874202694101E-3</v>
      </c>
    </row>
    <row r="18" spans="1:3" x14ac:dyDescent="0.25">
      <c r="A18" t="s">
        <v>15</v>
      </c>
      <c r="B18">
        <v>1.60509321854446E-3</v>
      </c>
      <c r="C18" s="3"/>
    </row>
    <row r="19" spans="1:3" x14ac:dyDescent="0.25">
      <c r="A19" t="s">
        <v>14</v>
      </c>
      <c r="B19">
        <v>8.3328361684614598E-4</v>
      </c>
    </row>
    <row r="20" spans="1:3" x14ac:dyDescent="0.25">
      <c r="A20" t="s">
        <v>18</v>
      </c>
      <c r="B20">
        <v>4.9968411143480401E-4</v>
      </c>
    </row>
    <row r="21" spans="1:3" x14ac:dyDescent="0.25">
      <c r="A21" t="s">
        <v>13</v>
      </c>
      <c r="B21">
        <v>3.1985679748399202E-4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2023-03-01T15:55:15Z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