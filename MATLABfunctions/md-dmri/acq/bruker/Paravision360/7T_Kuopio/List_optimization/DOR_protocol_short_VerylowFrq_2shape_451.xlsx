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D3588C6E-7FCB-4058-808A-BCFAB6D900D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</calcChain>
</file>

<file path=xl/sharedStrings.xml><?xml version="1.0" encoding="utf-8"?>
<sst xmlns="http://schemas.openxmlformats.org/spreadsheetml/2006/main" count="51" uniqueCount="34">
  <si>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</si>
  <si>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</si>
  <si>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</si>
  <si>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</si>
  <si>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</si>
  <si>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</si>
  <si>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</si>
  <si>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</si>
  <si>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</si>
  <si>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</si>
  <si>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</si>
  <si>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Shape duration (m)</t>
  </si>
  <si>
    <t>Max b-value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</si>
  <si>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</si>
  <si>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</si>
  <si>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</si>
  <si>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</si>
  <si>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</si>
  <si>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</si>
  <si>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0_1</t>
  </si>
  <si>
    <t>0_0,5_1</t>
  </si>
  <si>
    <t>0_12</t>
  </si>
  <si>
    <t>800_1500_3000</t>
  </si>
  <si>
    <t>800_2000_3500</t>
  </si>
  <si>
    <t>0_4_10</t>
  </si>
  <si>
    <t>500_1200_3000</t>
  </si>
  <si>
    <t>0_10_44</t>
  </si>
  <si>
    <t>16_36</t>
  </si>
  <si>
    <t>0_1_-0,5</t>
  </si>
  <si>
    <t>0_0,5_1_-0,5</t>
  </si>
  <si>
    <t>0_14</t>
  </si>
  <si>
    <t>8_26</t>
  </si>
  <si>
    <t>1_2</t>
  </si>
  <si>
    <t>0.100_0.223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</si>
</sst>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zoomScaleNormal="100" workbookViewId="0">
      <selection activeCell="B14" sqref="B14"/>
    </sheetView>
  </sheetViews>
  <sheetFormatPr baseColWidth="10" defaultColWidth="8.85546875" defaultRowHeight="15" x14ac:dyDescent="0.25"/>
  <cols>
    <col min="1" max="6" width="14.85546875" customWidth="1"/>
    <col min="7" max="10" width="13" customWidth="1"/>
    <col min="11" max="11" width="14.140625" customWidth="1"/>
    <col min="12" max="12" width="10.7109375" customWidth="1"/>
    <col min="13" max="14" width="13" customWidth="1"/>
    <col min="15" max="16" width="10.7109375" customWidth="1"/>
    <col min="17" max="17" width="13" customWidth="1"/>
    <col min="18" max="22" width="10.7109375" customWidth="1"/>
    <col min="24" max="1033" width="10.7109375" customWidth="1"/>
  </cols>
  <sheetData>
    <row r="1" spans="1:22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</row>
    <row r="2" spans="1:22" x14ac:dyDescent="0.25">
      <c r="A2" t="s">
        <v>1</v>
      </c>
      <c r="B2">
        <v>0</v>
      </c>
      <c r="C2" t="s">
        <v>33</v>
      </c>
      <c r="D2">
        <v>0.38600000000000001</v>
      </c>
      <c r="E2">
        <v>0.38600000000000001</v>
      </c>
      <c r="F2">
        <v>0.38600000000000001</v>
      </c>
      <c r="G2">
        <v>0.61299999999999999</v>
      </c>
      <c r="H2">
        <v>0.61299999999999999</v>
      </c>
      <c r="I2">
        <v>0.61299999999999999</v>
      </c>
      <c r="J2">
        <v>1.0980000000000001</v>
      </c>
      <c r="K2">
        <v>1.0980000000000001</v>
      </c>
      <c r="L2">
        <v>1.0980000000000001</v>
      </c>
      <c r="M2">
        <v>1.788</v>
      </c>
      <c r="N2">
        <v>1.788</v>
      </c>
      <c r="O2">
        <v>1.788</v>
      </c>
      <c r="P2">
        <v>2.379</v>
      </c>
      <c r="Q2">
        <v>2.7189999999999999</v>
      </c>
      <c r="R2">
        <v>3.492</v>
      </c>
      <c r="S2">
        <v>3.492</v>
      </c>
      <c r="T2">
        <v>4.399</v>
      </c>
    </row>
    <row r="3" spans="1:22" x14ac:dyDescent="0.25">
      <c r="A3" t="s">
        <v>2</v>
      </c>
      <c r="B3">
        <v>0</v>
      </c>
      <c r="C3">
        <v>0</v>
      </c>
      <c r="D3">
        <v>8</v>
      </c>
      <c r="E3">
        <v>5</v>
      </c>
      <c r="F3">
        <v>4</v>
      </c>
      <c r="G3">
        <v>4</v>
      </c>
      <c r="H3">
        <v>8</v>
      </c>
      <c r="I3">
        <v>3</v>
      </c>
      <c r="J3">
        <v>11</v>
      </c>
      <c r="K3">
        <v>6</v>
      </c>
      <c r="L3">
        <v>0</v>
      </c>
      <c r="M3">
        <v>11</v>
      </c>
      <c r="N3">
        <v>5</v>
      </c>
      <c r="O3">
        <v>5</v>
      </c>
      <c r="P3">
        <v>6</v>
      </c>
      <c r="Q3">
        <v>5</v>
      </c>
      <c r="R3">
        <v>7</v>
      </c>
      <c r="S3">
        <v>8</v>
      </c>
      <c r="T3">
        <v>6</v>
      </c>
    </row>
    <row r="4" spans="1:22" x14ac:dyDescent="0.25">
      <c r="A4" t="s">
        <v>3</v>
      </c>
      <c r="B4">
        <v>0</v>
      </c>
      <c r="C4">
        <v>1</v>
      </c>
      <c r="D4">
        <v>4</v>
      </c>
      <c r="E4">
        <v>1</v>
      </c>
      <c r="F4">
        <v>1</v>
      </c>
      <c r="G4">
        <v>1</v>
      </c>
      <c r="H4">
        <v>1</v>
      </c>
      <c r="I4">
        <v>0</v>
      </c>
      <c r="J4">
        <v>4</v>
      </c>
      <c r="K4">
        <v>1</v>
      </c>
      <c r="L4">
        <v>3</v>
      </c>
      <c r="M4">
        <v>4</v>
      </c>
      <c r="N4">
        <v>3</v>
      </c>
      <c r="O4">
        <v>0</v>
      </c>
      <c r="P4">
        <v>1</v>
      </c>
      <c r="Q4">
        <v>2</v>
      </c>
      <c r="R4">
        <v>3</v>
      </c>
      <c r="S4">
        <v>2</v>
      </c>
      <c r="T4">
        <v>2</v>
      </c>
    </row>
    <row r="5" spans="1:22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19</v>
      </c>
      <c r="G5" t="s">
        <v>19</v>
      </c>
      <c r="H5" t="s">
        <v>28</v>
      </c>
      <c r="I5">
        <v>0.5</v>
      </c>
      <c r="J5">
        <v>1</v>
      </c>
      <c r="K5" t="s">
        <v>29</v>
      </c>
      <c r="L5">
        <v>0</v>
      </c>
      <c r="M5" t="s">
        <v>5</v>
      </c>
      <c r="N5" t="s">
        <v>5</v>
      </c>
      <c r="O5">
        <v>-0.5</v>
      </c>
      <c r="P5" t="s">
        <v>20</v>
      </c>
      <c r="Q5" t="s">
        <v>19</v>
      </c>
      <c r="R5" t="s">
        <v>19</v>
      </c>
      <c r="S5" t="s">
        <v>19</v>
      </c>
      <c r="T5" t="s">
        <v>19</v>
      </c>
    </row>
    <row r="6" spans="1:22" x14ac:dyDescent="0.25">
      <c r="A6" t="s">
        <v>6</v>
      </c>
      <c r="B6">
        <v>0</v>
      </c>
      <c r="C6">
        <v>1</v>
      </c>
      <c r="D6" t="s">
        <v>32</v>
      </c>
      <c r="E6">
        <v>1</v>
      </c>
      <c r="F6" t="s">
        <v>32</v>
      </c>
      <c r="G6" t="s">
        <v>32</v>
      </c>
      <c r="H6" t="s">
        <v>32</v>
      </c>
      <c r="I6">
        <v>2</v>
      </c>
      <c r="J6">
        <v>1</v>
      </c>
      <c r="K6" t="s">
        <v>32</v>
      </c>
      <c r="L6">
        <v>2</v>
      </c>
      <c r="M6" t="s">
        <v>32</v>
      </c>
      <c r="N6" t="s">
        <v>32</v>
      </c>
      <c r="O6">
        <v>2</v>
      </c>
      <c r="P6" t="s">
        <v>32</v>
      </c>
      <c r="Q6" t="s">
        <v>32</v>
      </c>
      <c r="R6">
        <v>2</v>
      </c>
      <c r="S6" t="s">
        <v>32</v>
      </c>
      <c r="T6">
        <v>2</v>
      </c>
    </row>
    <row r="7" spans="1:22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2" x14ac:dyDescent="0.25">
      <c r="A8" t="s">
        <v>8</v>
      </c>
      <c r="B8" t="s">
        <v>24</v>
      </c>
      <c r="C8" t="s">
        <v>26</v>
      </c>
      <c r="D8">
        <v>0</v>
      </c>
      <c r="E8" t="s">
        <v>27</v>
      </c>
      <c r="G8">
        <v>14</v>
      </c>
      <c r="H8">
        <v>0</v>
      </c>
      <c r="I8">
        <v>0</v>
      </c>
      <c r="J8" t="s">
        <v>30</v>
      </c>
      <c r="K8">
        <v>0</v>
      </c>
      <c r="L8" t="s">
        <v>31</v>
      </c>
      <c r="M8">
        <v>0</v>
      </c>
      <c r="N8">
        <v>12</v>
      </c>
      <c r="O8">
        <v>0</v>
      </c>
      <c r="P8" t="s">
        <v>21</v>
      </c>
      <c r="Q8">
        <v>0</v>
      </c>
      <c r="R8">
        <v>0</v>
      </c>
      <c r="S8">
        <v>0</v>
      </c>
      <c r="T8">
        <v>0</v>
      </c>
    </row>
    <row r="9" spans="1:22" x14ac:dyDescent="0.25">
      <c r="A9" t="s">
        <v>9</v>
      </c>
      <c r="B9" t="s">
        <v>22</v>
      </c>
      <c r="C9" t="s">
        <v>23</v>
      </c>
      <c r="D9">
        <v>1200</v>
      </c>
      <c r="E9">
        <v>1200</v>
      </c>
      <c r="F9" t="s">
        <v>25</v>
      </c>
      <c r="G9">
        <v>1500</v>
      </c>
      <c r="H9">
        <v>2000</v>
      </c>
      <c r="I9">
        <v>1000</v>
      </c>
      <c r="J9">
        <v>800</v>
      </c>
      <c r="K9">
        <v>2400</v>
      </c>
      <c r="L9">
        <v>2600</v>
      </c>
      <c r="M9">
        <v>1700</v>
      </c>
      <c r="N9">
        <v>1900</v>
      </c>
      <c r="O9">
        <v>1500</v>
      </c>
      <c r="P9">
        <v>3000</v>
      </c>
      <c r="Q9">
        <v>2500</v>
      </c>
      <c r="R9">
        <v>2900</v>
      </c>
      <c r="S9">
        <v>2500</v>
      </c>
      <c r="T9">
        <v>3000</v>
      </c>
    </row>
    <row r="12" spans="1:22" x14ac:dyDescent="0.25">
      <c r="A12" t="s">
        <v>10</v>
      </c>
      <c r="B12">
        <v>0.76566543825142397</v>
      </c>
    </row>
    <row r="13" spans="1:22" x14ac:dyDescent="0.25">
      <c r="A13" t="s">
        <v>11</v>
      </c>
      <c r="B13">
        <v>0</v>
      </c>
      <c r="C13">
        <v>10</v>
      </c>
      <c r="D13">
        <v>12</v>
      </c>
      <c r="E13">
        <v>12</v>
      </c>
      <c r="F13">
        <v>12</v>
      </c>
      <c r="G13">
        <v>14</v>
      </c>
      <c r="H13">
        <v>14</v>
      </c>
      <c r="I13">
        <v>14</v>
      </c>
      <c r="J13">
        <v>17</v>
      </c>
      <c r="K13">
        <v>17</v>
      </c>
      <c r="L13">
        <v>17</v>
      </c>
      <c r="M13">
        <v>20</v>
      </c>
      <c r="N13">
        <v>20</v>
      </c>
      <c r="O13">
        <v>20</v>
      </c>
      <c r="P13">
        <v>22</v>
      </c>
      <c r="Q13">
        <v>23</v>
      </c>
      <c r="R13">
        <v>25</v>
      </c>
      <c r="S13">
        <v>25</v>
      </c>
      <c r="T13">
        <v>27</v>
      </c>
    </row>
    <row r="14" spans="1:22" x14ac:dyDescent="0.25">
      <c r="A14" t="s">
        <v>12</v>
      </c>
      <c r="B14" s="1">
        <f>_xlfn.FLOOR.MATH(((2*$B$17*$B$12^2*(B13/1000)^3*(26.75*10^7)^2)*10^-9)-0.0001,0.001)</f>
        <v>-1E-3</v>
      </c>
      <c r="C14" s="1">
        <f t="shared" ref="C14:T14" si="0">_xlfn.FLOOR.MATH(((2*$B$17*$B$12^2*(C13/1000)^3*(26.75*10^7)^2)*10^-9)-0.0001,0.001)</f>
        <v>0.223</v>
      </c>
      <c r="D14" s="1">
        <f t="shared" si="0"/>
        <v>0.38600000000000001</v>
      </c>
      <c r="E14" s="1">
        <f t="shared" si="0"/>
        <v>0.38600000000000001</v>
      </c>
      <c r="F14" s="1">
        <f t="shared" si="0"/>
        <v>0.38600000000000001</v>
      </c>
      <c r="G14" s="1">
        <f t="shared" si="0"/>
        <v>0.61299999999999999</v>
      </c>
      <c r="H14" s="1">
        <f t="shared" si="0"/>
        <v>0.61299999999999999</v>
      </c>
      <c r="I14" s="1">
        <f t="shared" si="0"/>
        <v>0.61299999999999999</v>
      </c>
      <c r="J14" s="1">
        <f t="shared" si="0"/>
        <v>1.0980000000000001</v>
      </c>
      <c r="K14" s="1">
        <f t="shared" si="0"/>
        <v>1.0980000000000001</v>
      </c>
      <c r="L14" s="1">
        <f t="shared" si="0"/>
        <v>1.0980000000000001</v>
      </c>
      <c r="M14" s="1">
        <f t="shared" si="0"/>
        <v>1.788</v>
      </c>
      <c r="N14" s="1">
        <f t="shared" si="0"/>
        <v>1.788</v>
      </c>
      <c r="O14" s="1">
        <f t="shared" si="0"/>
        <v>1.788</v>
      </c>
      <c r="P14" s="1">
        <f t="shared" si="0"/>
        <v>2.379</v>
      </c>
      <c r="Q14" s="1">
        <f t="shared" si="0"/>
        <v>2.7189999999999999</v>
      </c>
      <c r="R14" s="1">
        <f t="shared" si="0"/>
        <v>3.492</v>
      </c>
      <c r="S14" s="1">
        <f t="shared" si="0"/>
        <v>3.492</v>
      </c>
      <c r="T14" s="1">
        <f t="shared" si="0"/>
        <v>4.399</v>
      </c>
      <c r="U14" s="1"/>
      <c r="V14" s="1"/>
    </row>
    <row r="15" spans="1:22" x14ac:dyDescent="0.25">
      <c r="B15" s="2"/>
      <c r="C15" s="2"/>
      <c r="D15" s="2"/>
      <c r="E15" s="2"/>
      <c r="F15" s="2"/>
      <c r="G15" s="2"/>
      <c r="H15" s="2"/>
      <c r="I15" s="2"/>
      <c r="J15" s="2"/>
      <c r="M15" s="2"/>
      <c r="N15" s="2"/>
      <c r="O15" s="2"/>
      <c r="P15" s="2"/>
      <c r="Q15" s="2"/>
      <c r="R15" s="2"/>
      <c r="S15" s="2"/>
    </row>
    <row r="16" spans="1:22" x14ac:dyDescent="0.25">
      <c r="A16" t="s">
        <v>13</v>
      </c>
      <c r="B16">
        <v>5.3189247225993502E-3</v>
      </c>
    </row>
    <row r="17" spans="1:7" x14ac:dyDescent="0.25">
      <c r="A17" t="s">
        <v>14</v>
      </c>
      <c r="B17">
        <v>2.6641874202694101E-3</v>
      </c>
    </row>
    <row r="18" spans="1:7" x14ac:dyDescent="0.25">
      <c r="A18" t="s">
        <v>15</v>
      </c>
      <c r="B18">
        <v>1.60509321854446E-3</v>
      </c>
      <c r="C18" s="3"/>
      <c r="D18" s="3"/>
      <c r="E18" s="3"/>
      <c r="F18" s="3"/>
      <c r="G18" s="3"/>
    </row>
    <row r="19" spans="1:7" x14ac:dyDescent="0.25">
      <c r="A19" t="s">
        <v>16</v>
      </c>
      <c r="B19">
        <v>8.3328361684614598E-4</v>
      </c>
    </row>
    <row r="20" spans="1:7" x14ac:dyDescent="0.25">
      <c r="A20" t="s">
        <v>17</v>
      </c>
      <c r="B20">
        <v>4.9968411143480401E-4</v>
      </c>
    </row>
    <row r="21" spans="1:7" x14ac:dyDescent="0.25">
      <c r="A21" t="s">
        <v>18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2023-03-04T08:34:50Z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