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New_Variable_List\"/>
    </mc:Choice>
  </mc:AlternateContent>
  <xr:revisionPtr revIDLastSave="0" documentId="13_ncr:1_{A12E76D8-28F5-4951-95EF-05F0E26D6388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B14" i="1"/>
  <c r="J14" i="1" l="1"/>
  <c r="I14" i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<sst xmlns="http://schemas.openxmlformats.org/spreadsheetml/2006/main" count="39" uniqueCount="25">
  <si>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</si>
  <si>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</si>
  <si>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</si>
  <si>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</si>
  <si>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</si>
  <si>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</si>
  <si>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</si>
  <si>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</si>
  <si>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</si>
  <si>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</si>
  <si>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</si>
  <si>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10_20</t>
  </si>
  <si>
    <t>TR</t>
  </si>
  <si>
    <t>2000_3500</t>
  </si>
  <si>
    <t>maxGrad</t>
  </si>
  <si>
    <t>Shape duration (m)</t>
  </si>
  <si>
    <t>Max b-value</t>
  </si>
  <si>
    <t>1_2_3_4_5_6</t>
  </si>
  <si>
    <t>0_8_20_30</t>
  </si>
  <si>
    <t>10_20_32</t>
  </si>
  <si>
    <t>0,025_0,085</t>
  </si>
  <si>
    <t>1_3</t>
  </si>
  <si>
    <t>800_2000_3500</t>
  </si>
  <si>
    <t>800_1500_3000</t>
  </si>
  <si>
    <t>0_8_24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</si>
</sst>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selection activeCell="D18" sqref="D18"/>
    </sheetView>
  </sheetViews>
  <sheetFormatPr baseColWidth="10" defaultColWidth="8.88671875" defaultRowHeight="14.4" x14ac:dyDescent="0.3"/>
  <cols>
    <col min="1" max="2" width="14.88671875" customWidth="1"/>
    <col min="3" max="11" width="13" customWidth="1"/>
    <col min="12" max="1025" width="10.6640625" customWidth="1"/>
  </cols>
  <sheetData>
    <row r="1" spans="1:11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1" x14ac:dyDescent="0.3">
      <c r="A2" t="s">
        <v>1</v>
      </c>
      <c r="B2" t="s">
        <v>20</v>
      </c>
      <c r="C2" t="s">
        <v>20</v>
      </c>
      <c r="D2">
        <v>8.5000000000000006E-2</v>
      </c>
      <c r="E2">
        <v>8.5000000000000006E-2</v>
      </c>
      <c r="F2">
        <v>0.68700000000000006</v>
      </c>
      <c r="G2">
        <v>0.68700000000000006</v>
      </c>
      <c r="H2">
        <v>1.629</v>
      </c>
      <c r="I2">
        <v>1.629</v>
      </c>
      <c r="J2">
        <v>3.1830000000000003</v>
      </c>
      <c r="K2">
        <v>4.2370000000000001</v>
      </c>
    </row>
    <row r="3" spans="1:11" x14ac:dyDescent="0.3">
      <c r="A3" t="s">
        <v>2</v>
      </c>
      <c r="B3">
        <v>0</v>
      </c>
      <c r="C3">
        <v>15</v>
      </c>
      <c r="D3">
        <v>4</v>
      </c>
      <c r="E3">
        <v>4</v>
      </c>
      <c r="F3">
        <v>15</v>
      </c>
      <c r="G3">
        <v>4</v>
      </c>
      <c r="H3">
        <v>15</v>
      </c>
      <c r="I3">
        <v>4</v>
      </c>
      <c r="J3">
        <v>15</v>
      </c>
      <c r="K3">
        <v>15</v>
      </c>
    </row>
    <row r="4" spans="1:11" x14ac:dyDescent="0.3">
      <c r="A4" t="s">
        <v>3</v>
      </c>
      <c r="B4">
        <v>1</v>
      </c>
      <c r="C4">
        <v>4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  <c r="J4">
        <v>4</v>
      </c>
      <c r="K4">
        <v>4</v>
      </c>
    </row>
    <row r="5" spans="1:11" x14ac:dyDescent="0.3">
      <c r="A5" t="s">
        <v>4</v>
      </c>
      <c r="B5" s="1">
        <v>0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x14ac:dyDescent="0.3">
      <c r="A6" t="s">
        <v>6</v>
      </c>
      <c r="B6">
        <v>1</v>
      </c>
      <c r="C6" t="s">
        <v>21</v>
      </c>
      <c r="D6" t="s">
        <v>21</v>
      </c>
      <c r="E6" t="s">
        <v>21</v>
      </c>
      <c r="F6" t="s">
        <v>17</v>
      </c>
      <c r="G6" t="s">
        <v>8</v>
      </c>
      <c r="H6" t="s">
        <v>17</v>
      </c>
      <c r="I6" t="s">
        <v>7</v>
      </c>
      <c r="J6" t="s">
        <v>17</v>
      </c>
      <c r="K6" t="s">
        <v>17</v>
      </c>
    </row>
    <row r="7" spans="1:11" x14ac:dyDescent="0.3">
      <c r="A7" t="s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3">
      <c r="A8" t="s">
        <v>10</v>
      </c>
      <c r="B8" t="s">
        <v>18</v>
      </c>
      <c r="C8">
        <v>0</v>
      </c>
      <c r="D8" t="s">
        <v>24</v>
      </c>
      <c r="E8" t="s">
        <v>19</v>
      </c>
      <c r="F8">
        <v>0</v>
      </c>
      <c r="G8" t="s">
        <v>11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12</v>
      </c>
      <c r="B9" s="1" t="s">
        <v>22</v>
      </c>
      <c r="C9" s="1">
        <v>1500</v>
      </c>
      <c r="D9" s="1" t="s">
        <v>23</v>
      </c>
      <c r="E9" s="1">
        <v>2000</v>
      </c>
      <c r="F9">
        <v>2000</v>
      </c>
      <c r="G9" t="s">
        <v>13</v>
      </c>
      <c r="H9" s="1">
        <v>2500</v>
      </c>
      <c r="I9" s="1">
        <v>3500</v>
      </c>
      <c r="J9" s="1">
        <v>3500</v>
      </c>
      <c r="K9" s="1">
        <v>3500</v>
      </c>
    </row>
    <row r="12" spans="1:11" x14ac:dyDescent="0.3">
      <c r="A12" t="s">
        <v>14</v>
      </c>
      <c r="B12">
        <v>2.9493999999999998</v>
      </c>
      <c r="C12">
        <v>2.9493999999999998</v>
      </c>
    </row>
    <row r="13" spans="1:11" x14ac:dyDescent="0.3">
      <c r="A13" t="s">
        <v>15</v>
      </c>
      <c r="B13">
        <v>4</v>
      </c>
      <c r="C13">
        <v>4</v>
      </c>
      <c r="D13">
        <v>6</v>
      </c>
      <c r="E13">
        <v>6</v>
      </c>
      <c r="F13">
        <v>12</v>
      </c>
      <c r="G13">
        <v>12</v>
      </c>
      <c r="H13">
        <v>16</v>
      </c>
      <c r="I13">
        <v>16</v>
      </c>
      <c r="J13">
        <v>20</v>
      </c>
      <c r="K13">
        <v>22</v>
      </c>
    </row>
    <row r="14" spans="1:11" x14ac:dyDescent="0.3">
      <c r="A14" t="s">
        <v>16</v>
      </c>
      <c r="B14" s="2">
        <f t="shared" ref="B14" si="0">_xlfn.FLOOR.MATH(((2*0.00031966*$C$12^2*(B13/1000)^3*(26.75*10^7)^2)*10^-9)-0.0001,0.001)</f>
        <v>2.5000000000000001E-2</v>
      </c>
      <c r="C14" s="2">
        <f t="shared" ref="C14:F14" si="1">_xlfn.FLOOR.MATH(((2*0.00031966*$C$12^2*(C13/1000)^3*(26.75*10^7)^2)*10^-9)-0.0001,0.001)</f>
        <v>2.5000000000000001E-2</v>
      </c>
      <c r="D14" s="2">
        <f t="shared" si="1"/>
        <v>8.5000000000000006E-2</v>
      </c>
      <c r="E14" s="2">
        <f t="shared" si="1"/>
        <v>8.5000000000000006E-2</v>
      </c>
      <c r="F14" s="2">
        <f t="shared" si="1"/>
        <v>0.68700000000000006</v>
      </c>
      <c r="G14" s="2">
        <f>_xlfn.FLOOR.MATH(((2*0.00031966*$C$12^2*(G13/1000)^3*(26.75*10^7)^2)*10^-9)-0.0001,0.001)</f>
        <v>0.68700000000000006</v>
      </c>
      <c r="H14" s="2">
        <f t="shared" ref="H14:J14" si="2">_xlfn.FLOOR.MATH(((2*0.00031966*$C$12^2*(H13/1000)^3*(26.75*10^7)^2)*10^-9)-0.0001,0.001)</f>
        <v>1.629</v>
      </c>
      <c r="I14" s="2">
        <f t="shared" si="2"/>
        <v>1.629</v>
      </c>
      <c r="J14" s="2">
        <f t="shared" si="2"/>
        <v>3.1830000000000003</v>
      </c>
      <c r="K14" s="2">
        <f t="shared" ref="K14" si="3">_xlfn.FLOOR.MATH(((2*0.00031966*$C$12^2*(K13/1000)^3*(26.75*10^7)^2)*10^-9)-0.0001,0.001)</f>
        <v>4.2370000000000001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14</cp:revision>
  <dcterms:created xsi:type="dcterms:W3CDTF">2021-12-22T15:39:36Z</dcterms:created>
  <dcterms:modified xsi:type="dcterms:W3CDTF">2022-02-22T16:04:43Z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