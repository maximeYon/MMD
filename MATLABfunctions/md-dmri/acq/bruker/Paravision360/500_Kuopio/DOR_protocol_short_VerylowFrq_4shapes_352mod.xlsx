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Kuopio\"/>
    </mc:Choice>
  </mc:AlternateContent>
  <xr:revisionPtr revIDLastSave="0" documentId="13_ncr:1_{40B0D30D-2BFA-4B52-A961-A808973A999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" l="1"/>
  <c r="M14" i="1"/>
  <c r="N14" i="1"/>
  <c r="O14" i="1"/>
  <c r="P14" i="1"/>
  <c r="G14" i="1"/>
  <c r="J14" i="1"/>
  <c r="L14" i="1"/>
  <c r="H14" i="1"/>
  <c r="I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<sst xmlns="http://schemas.openxmlformats.org/spreadsheetml/2006/main" count="44" uniqueCount="32">
  <si>
    <t xml:space="preserve">diff_exp </t>
  </si>
  <si>
    <t>bval</t>
  </si>
  <si>
    <t>0.100_0.235</t>
  </si>
  <si>
    <t>Ndir</t>
  </si>
  <si>
    <t>Ndir_spherical</t>
  </si>
  <si>
    <t>Bdelta</t>
  </si>
  <si>
    <t>0_-0,5_1</t>
  </si>
  <si>
    <t>0_1</t>
  </si>
  <si>
    <t>0_0,5_1</t>
  </si>
  <si>
    <t>freq_shape</t>
  </si>
  <si>
    <t>1_4</t>
  </si>
  <si>
    <t>1_2_4</t>
  </si>
  <si>
    <t>N_b0</t>
  </si>
  <si>
    <t>TE</t>
  </si>
  <si>
    <t>0_4_8</t>
  </si>
  <si>
    <t>8_20</t>
  </si>
  <si>
    <t>TR</t>
  </si>
  <si>
    <t>800_1500_3000</t>
  </si>
  <si>
    <t>800_2000_3500</t>
  </si>
  <si>
    <t>1500_3000</t>
  </si>
  <si>
    <t>maxGrad</t>
  </si>
  <si>
    <t>Shape duration (m)</t>
  </si>
  <si>
    <t>Max b-value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</si>
  <si>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</si>
  <si>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</si>
  <si>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</si>
  <si>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</si>
  <si>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</si>
  <si>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</si>
  <si>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12_26</t>
  </si>
  <si>
    <t>0_8_36</t>
  </si>
  <si>
    <t>0_16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</si>
</sst>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d\-mmm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Normal="100" workbookViewId="0">
      <selection activeCell="I8" sqref="I8"/>
    </sheetView>
  </sheetViews>
  <sheetFormatPr baseColWidth="10" defaultColWidth="10.7109375" defaultRowHeight="15" x14ac:dyDescent="0.25"/>
  <cols>
    <col min="1" max="3" width="14.85546875" customWidth="1"/>
    <col min="4" max="6" width="13" customWidth="1"/>
    <col min="8" max="8" width="13" customWidth="1"/>
    <col min="9" max="9" width="10.7109375" customWidth="1"/>
    <col min="10" max="10" width="13" customWidth="1"/>
    <col min="12" max="12" width="13" customWidth="1"/>
  </cols>
  <sheetData>
    <row r="1" spans="1:16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</row>
    <row r="2" spans="1:16" x14ac:dyDescent="0.25">
      <c r="A2" t="s">
        <v>1</v>
      </c>
      <c r="B2">
        <v>0</v>
      </c>
      <c r="C2" t="s">
        <v>2</v>
      </c>
      <c r="D2">
        <v>0.79500000000000004</v>
      </c>
      <c r="E2">
        <v>0.79500000000000004</v>
      </c>
      <c r="F2">
        <v>0.79500000000000004</v>
      </c>
      <c r="G2">
        <v>1.091</v>
      </c>
      <c r="H2">
        <v>1.091</v>
      </c>
      <c r="I2">
        <v>1.8859999999999999</v>
      </c>
      <c r="J2">
        <v>1.8859999999999999</v>
      </c>
      <c r="K2">
        <v>2.3969999999999998</v>
      </c>
      <c r="L2">
        <v>2.9950000000000001</v>
      </c>
      <c r="M2">
        <v>3.6829999999999998</v>
      </c>
      <c r="N2">
        <v>5.3620000000000001</v>
      </c>
      <c r="O2">
        <v>7.4859999999999998</v>
      </c>
      <c r="P2">
        <v>8.7319999999999993</v>
      </c>
    </row>
    <row r="3" spans="1:16" x14ac:dyDescent="0.25">
      <c r="A3" t="s">
        <v>3</v>
      </c>
      <c r="B3">
        <v>0</v>
      </c>
      <c r="C3">
        <v>0</v>
      </c>
      <c r="D3">
        <v>4</v>
      </c>
      <c r="E3">
        <v>8</v>
      </c>
      <c r="F3">
        <v>3</v>
      </c>
      <c r="G3">
        <v>0</v>
      </c>
      <c r="H3">
        <v>11</v>
      </c>
      <c r="I3">
        <v>11</v>
      </c>
      <c r="J3">
        <v>5</v>
      </c>
      <c r="K3">
        <v>6</v>
      </c>
      <c r="L3">
        <v>5</v>
      </c>
      <c r="M3">
        <v>8</v>
      </c>
      <c r="N3">
        <v>10</v>
      </c>
      <c r="O3">
        <v>6</v>
      </c>
      <c r="P3">
        <v>4</v>
      </c>
    </row>
    <row r="4" spans="1:16" x14ac:dyDescent="0.25">
      <c r="A4" t="s">
        <v>4</v>
      </c>
      <c r="B4">
        <v>0</v>
      </c>
      <c r="C4">
        <v>1</v>
      </c>
      <c r="D4">
        <v>1</v>
      </c>
      <c r="E4">
        <v>1</v>
      </c>
      <c r="F4">
        <v>0</v>
      </c>
      <c r="G4">
        <v>3</v>
      </c>
      <c r="H4">
        <v>4</v>
      </c>
      <c r="I4">
        <v>4</v>
      </c>
      <c r="J4">
        <v>0</v>
      </c>
      <c r="K4">
        <v>1</v>
      </c>
      <c r="L4">
        <v>2</v>
      </c>
      <c r="M4">
        <v>2</v>
      </c>
      <c r="N4">
        <v>2</v>
      </c>
      <c r="O4">
        <v>1</v>
      </c>
      <c r="P4">
        <v>3</v>
      </c>
    </row>
    <row r="5" spans="1:16" x14ac:dyDescent="0.25">
      <c r="A5" t="s">
        <v>5</v>
      </c>
      <c r="B5">
        <v>0</v>
      </c>
      <c r="C5">
        <v>0</v>
      </c>
      <c r="D5" t="s">
        <v>6</v>
      </c>
      <c r="E5" t="s">
        <v>7</v>
      </c>
      <c r="F5">
        <v>0.5</v>
      </c>
      <c r="G5">
        <v>0</v>
      </c>
      <c r="H5">
        <v>1</v>
      </c>
      <c r="I5" t="s">
        <v>7</v>
      </c>
      <c r="J5">
        <v>-0.5</v>
      </c>
      <c r="K5" t="s">
        <v>8</v>
      </c>
      <c r="L5" t="s">
        <v>7</v>
      </c>
      <c r="M5" t="s">
        <v>6</v>
      </c>
      <c r="N5" t="s">
        <v>8</v>
      </c>
      <c r="O5" t="s">
        <v>7</v>
      </c>
      <c r="P5" t="s">
        <v>7</v>
      </c>
    </row>
    <row r="6" spans="1:16" x14ac:dyDescent="0.25">
      <c r="A6" t="s">
        <v>9</v>
      </c>
      <c r="B6">
        <v>0</v>
      </c>
      <c r="C6">
        <v>1</v>
      </c>
      <c r="D6" t="s">
        <v>10</v>
      </c>
      <c r="E6" t="s">
        <v>10</v>
      </c>
      <c r="F6">
        <v>4</v>
      </c>
      <c r="G6">
        <v>4</v>
      </c>
      <c r="H6">
        <v>1</v>
      </c>
      <c r="I6" t="s">
        <v>10</v>
      </c>
      <c r="J6">
        <v>2</v>
      </c>
      <c r="K6" t="s">
        <v>10</v>
      </c>
      <c r="L6" t="s">
        <v>11</v>
      </c>
      <c r="M6" t="s">
        <v>10</v>
      </c>
      <c r="N6">
        <v>3</v>
      </c>
      <c r="O6" t="s">
        <v>10</v>
      </c>
      <c r="P6">
        <v>4</v>
      </c>
    </row>
    <row r="7" spans="1:16" x14ac:dyDescent="0.25">
      <c r="A7" t="s">
        <v>12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</row>
    <row r="8" spans="1:16" x14ac:dyDescent="0.25">
      <c r="A8" t="s">
        <v>13</v>
      </c>
      <c r="B8" t="s">
        <v>14</v>
      </c>
      <c r="C8" t="s">
        <v>30</v>
      </c>
      <c r="D8">
        <v>12</v>
      </c>
      <c r="E8">
        <v>0</v>
      </c>
      <c r="F8">
        <v>0</v>
      </c>
      <c r="G8" t="s">
        <v>29</v>
      </c>
      <c r="H8" t="s">
        <v>31</v>
      </c>
      <c r="I8" t="s">
        <v>31</v>
      </c>
      <c r="J8">
        <v>0</v>
      </c>
      <c r="K8">
        <v>15</v>
      </c>
      <c r="L8">
        <v>25</v>
      </c>
      <c r="M8">
        <v>0</v>
      </c>
      <c r="N8" t="s">
        <v>15</v>
      </c>
      <c r="O8">
        <v>0</v>
      </c>
      <c r="P8">
        <v>8</v>
      </c>
    </row>
    <row r="9" spans="1:16" x14ac:dyDescent="0.25">
      <c r="A9" t="s">
        <v>16</v>
      </c>
      <c r="B9" t="s">
        <v>17</v>
      </c>
      <c r="C9" t="s">
        <v>18</v>
      </c>
      <c r="D9" t="s">
        <v>19</v>
      </c>
      <c r="E9">
        <v>2000</v>
      </c>
      <c r="F9">
        <v>1000</v>
      </c>
      <c r="G9">
        <v>2600</v>
      </c>
      <c r="H9">
        <v>800</v>
      </c>
      <c r="I9">
        <v>1700</v>
      </c>
      <c r="J9">
        <v>1500</v>
      </c>
      <c r="K9">
        <v>3000</v>
      </c>
      <c r="L9">
        <v>2500</v>
      </c>
      <c r="M9">
        <v>1200</v>
      </c>
      <c r="N9">
        <v>2000</v>
      </c>
      <c r="O9">
        <v>3500</v>
      </c>
      <c r="P9">
        <v>2800</v>
      </c>
    </row>
    <row r="12" spans="1:16" x14ac:dyDescent="0.25">
      <c r="A12" t="s">
        <v>20</v>
      </c>
      <c r="B12">
        <v>3.0253948303575702</v>
      </c>
    </row>
    <row r="13" spans="1:16" x14ac:dyDescent="0.25">
      <c r="A13" t="s">
        <v>21</v>
      </c>
      <c r="B13">
        <v>0</v>
      </c>
      <c r="C13">
        <v>6</v>
      </c>
      <c r="D13">
        <v>9</v>
      </c>
      <c r="E13">
        <v>9</v>
      </c>
      <c r="F13">
        <v>9</v>
      </c>
      <c r="G13">
        <v>10</v>
      </c>
      <c r="H13">
        <v>10</v>
      </c>
      <c r="I13">
        <v>12</v>
      </c>
      <c r="J13">
        <v>12</v>
      </c>
      <c r="K13">
        <v>13</v>
      </c>
      <c r="L13">
        <v>14</v>
      </c>
      <c r="M13">
        <v>15</v>
      </c>
      <c r="N13">
        <v>17</v>
      </c>
      <c r="O13">
        <v>19</v>
      </c>
      <c r="P13">
        <v>20</v>
      </c>
    </row>
    <row r="14" spans="1:16" x14ac:dyDescent="0.25">
      <c r="A14" t="s">
        <v>22</v>
      </c>
      <c r="B14" s="1">
        <f t="shared" ref="B14:I14" si="0">_xlfn.FLOOR.MATH(((2*$B$19*$B$12^2*(B13/1000)^3*(26.75*10^7)^2)*10^-9)-0.0001,0.001)</f>
        <v>-1E-3</v>
      </c>
      <c r="C14" s="1">
        <f t="shared" si="0"/>
        <v>0.23500000000000001</v>
      </c>
      <c r="D14" s="1">
        <f t="shared" si="0"/>
        <v>0.79500000000000004</v>
      </c>
      <c r="E14" s="1">
        <f t="shared" si="0"/>
        <v>0.79500000000000004</v>
      </c>
      <c r="F14" s="1">
        <f t="shared" si="0"/>
        <v>0.79500000000000004</v>
      </c>
      <c r="G14" s="1">
        <f t="shared" ref="G14" si="1">_xlfn.FLOOR.MATH(((2*$B$19*$B$12^2*(G13/1000)^3*(26.75*10^7)^2)*10^-9)-0.0001,0.001)</f>
        <v>1.091</v>
      </c>
      <c r="H14" s="1">
        <f>_xlfn.FLOOR.MATH(((2*$B$19*$B$12^2*(H13/1000)^3*(26.75*10^7)^2)*10^-9)-0.0001,0.001)</f>
        <v>1.091</v>
      </c>
      <c r="I14" s="1">
        <f t="shared" si="0"/>
        <v>1.8860000000000001</v>
      </c>
      <c r="J14" s="1">
        <f>_xlfn.FLOOR.MATH(((2*$B$19*$B$12^2*(J13/1000)^3*(26.75*10^7)^2)*10^-9)-0.0001,0.001)</f>
        <v>1.8860000000000001</v>
      </c>
      <c r="K14" s="1">
        <f t="shared" ref="K14" si="2">_xlfn.FLOOR.MATH(((2*$B$19*$B$12^2*(K13/1000)^3*(26.75*10^7)^2)*10^-9)-0.0001,0.001)</f>
        <v>2.3970000000000002</v>
      </c>
      <c r="L14" s="1">
        <f>_xlfn.FLOOR.MATH(((2*$B$19*$B$12^2*(L13/1000)^3*(26.75*10^7)^2)*10^-9)-0.0001,0.001)</f>
        <v>2.9950000000000001</v>
      </c>
      <c r="M14" s="1">
        <f t="shared" ref="M14" si="3">_xlfn.FLOOR.MATH(((2*$B$19*$B$12^2*(M13/1000)^3*(26.75*10^7)^2)*10^-9)-0.0001,0.001)</f>
        <v>3.6830000000000003</v>
      </c>
      <c r="N14" s="1">
        <f t="shared" ref="N14" si="4">_xlfn.FLOOR.MATH(((2*$B$19*$B$12^2*(N13/1000)^3*(26.75*10^7)^2)*10^-9)-0.0001,0.001)</f>
        <v>5.3620000000000001</v>
      </c>
      <c r="O14" s="1">
        <f t="shared" ref="O14" si="5">_xlfn.FLOOR.MATH(((2*$B$19*$B$12^2*(O13/1000)^3*(26.75*10^7)^2)*10^-9)-0.0001,0.001)</f>
        <v>7.4859999999999998</v>
      </c>
      <c r="P14" s="1">
        <f t="shared" ref="P14" si="6">_xlfn.FLOOR.MATH(((2*$B$19*$B$12^2*(P13/1000)^3*(26.75*10^7)^2)*10^-9)-0.0001,0.001)</f>
        <v>8.7319999999999993</v>
      </c>
    </row>
    <row r="15" spans="1:16" x14ac:dyDescent="0.25">
      <c r="B15" s="2"/>
      <c r="C15" s="2"/>
      <c r="D15" s="2"/>
      <c r="E15" s="2"/>
      <c r="F15" s="2"/>
      <c r="H15" s="2"/>
      <c r="J15" s="2"/>
      <c r="K15" s="2"/>
      <c r="L15" s="2"/>
      <c r="M15" s="2"/>
    </row>
    <row r="16" spans="1:16" x14ac:dyDescent="0.25">
      <c r="A16" t="s">
        <v>23</v>
      </c>
      <c r="B16">
        <v>5.3189247225993502E-3</v>
      </c>
    </row>
    <row r="17" spans="1:3" x14ac:dyDescent="0.25">
      <c r="A17" t="s">
        <v>24</v>
      </c>
      <c r="B17">
        <v>2.6641874202694101E-3</v>
      </c>
    </row>
    <row r="18" spans="1:3" x14ac:dyDescent="0.25">
      <c r="A18" t="s">
        <v>25</v>
      </c>
      <c r="B18">
        <v>1.60509321854446E-3</v>
      </c>
      <c r="C18" s="3"/>
    </row>
    <row r="19" spans="1:3" x14ac:dyDescent="0.25">
      <c r="A19" t="s">
        <v>26</v>
      </c>
      <c r="B19">
        <v>8.3328361684614598E-4</v>
      </c>
    </row>
    <row r="20" spans="1:3" x14ac:dyDescent="0.25">
      <c r="A20" t="s">
        <v>27</v>
      </c>
      <c r="B20">
        <v>4.9968411143480401E-4</v>
      </c>
    </row>
    <row r="21" spans="1:3" x14ac:dyDescent="0.25">
      <c r="A21" t="s">
        <v>28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33</cp:revision>
  <dcterms:created xsi:type="dcterms:W3CDTF">2021-12-22T15:39:36Z</dcterms:created>
  <dcterms:modified xsi:type="dcterms:W3CDTF">2023-03-04T10:52:39Z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