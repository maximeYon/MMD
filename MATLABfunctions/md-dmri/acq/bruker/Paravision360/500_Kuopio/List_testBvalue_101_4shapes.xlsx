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Kuopio\"/>
    </mc:Choice>
  </mc:AlternateContent>
  <xr:revisionPtr revIDLastSave="0" documentId="13_ncr:1_{9CC4661D-41F3-4D54-8C13-CCDA4E49907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I2" i="1"/>
  <c r="J2" i="1"/>
  <c r="K2" i="1"/>
  <c r="L2" i="1"/>
  <c r="C2" i="1"/>
  <c r="B14" i="1"/>
  <c r="L14" i="1"/>
  <c r="K14" i="1"/>
  <c r="J14" i="1"/>
  <c r="I14" i="1"/>
  <c r="H14" i="1"/>
  <c r="G14" i="1"/>
  <c r="F14" i="1"/>
  <c r="E14" i="1"/>
  <c r="D14" i="1"/>
  <c r="C14" i="1"/>
</calcChain>
</file>

<file path=xl/sharedStrings.xml><?xml version="1.0" encoding="utf-8"?>
<sst xmlns="http://schemas.openxmlformats.org/spreadsheetml/2006/main" count="38" uniqueCount="20">
  <si>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</si>
  <si>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</si>
  <si>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</si>
  <si>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</si>
  <si>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</si>
  <si>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</si>
  <si>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</si>
  <si>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</si>
  <si>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</si>
  <si>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</si>
  <si>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</si>
  <si>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Max b-value</t>
  </si>
  <si>
    <t>Shape duration (m)</t>
  </si>
  <si>
    <t>6 shapes Effi factor</t>
  </si>
  <si>
    <t>4 shapes Effi factor</t>
  </si>
  <si>
    <t>3 shapes Effi factor</t>
  </si>
  <si>
    <t>2 shapes Effi factor</t>
  </si>
  <si>
    <t>1_2_4</t>
  </si>
  <si>
    <t>1 shapes Effi factor</t>
  </si>
  <si>
    <t>5 shapes Effi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</si>
</sst>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workbookViewId="0">
      <selection activeCell="A12" sqref="A12:L21"/>
    </sheetView>
  </sheetViews>
  <sheetFormatPr baseColWidth="10" defaultColWidth="8.85546875" defaultRowHeight="15" x14ac:dyDescent="0.25"/>
  <cols>
    <col min="1" max="1" width="23.140625" customWidth="1"/>
    <col min="2" max="4" width="18" customWidth="1"/>
    <col min="5" max="14" width="13" customWidth="1"/>
    <col min="15" max="1027" width="10.7109375" customWidth="1"/>
  </cols>
  <sheetData>
    <row r="1" spans="1:15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</row>
    <row r="2" spans="1:15" x14ac:dyDescent="0.25">
      <c r="A2" t="s">
        <v>1</v>
      </c>
      <c r="B2">
        <v>0</v>
      </c>
      <c r="C2" s="2">
        <f>C14</f>
        <v>0.23500000000000001</v>
      </c>
      <c r="D2" s="2">
        <f t="shared" ref="D2:L2" si="0">D14</f>
        <v>0.55800000000000005</v>
      </c>
      <c r="E2" s="2">
        <f t="shared" si="0"/>
        <v>1.091</v>
      </c>
      <c r="F2" s="2">
        <f t="shared" si="0"/>
        <v>1.8860000000000001</v>
      </c>
      <c r="G2" s="2">
        <f t="shared" si="0"/>
        <v>2.9950000000000001</v>
      </c>
      <c r="H2" s="2">
        <f t="shared" si="0"/>
        <v>4.47</v>
      </c>
      <c r="I2" s="2">
        <f t="shared" si="0"/>
        <v>6.3650000000000002</v>
      </c>
      <c r="J2" s="2">
        <f t="shared" si="0"/>
        <v>8.7319999999999993</v>
      </c>
      <c r="K2" s="2">
        <f t="shared" si="0"/>
        <v>11.622</v>
      </c>
      <c r="L2" s="2">
        <f t="shared" si="0"/>
        <v>15.089</v>
      </c>
    </row>
    <row r="3" spans="1:15" x14ac:dyDescent="0.25">
      <c r="A3" t="s">
        <v>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5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</row>
    <row r="5" spans="1:15" x14ac:dyDescent="0.25">
      <c r="A5" t="s">
        <v>4</v>
      </c>
      <c r="B5">
        <v>0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  <row r="6" spans="1:15" x14ac:dyDescent="0.25">
      <c r="A6" t="s">
        <v>6</v>
      </c>
      <c r="B6">
        <v>0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</row>
    <row r="7" spans="1:15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5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5" x14ac:dyDescent="0.25">
      <c r="A9" t="s">
        <v>9</v>
      </c>
      <c r="B9">
        <v>3500</v>
      </c>
      <c r="C9">
        <v>3500</v>
      </c>
      <c r="D9">
        <v>3500</v>
      </c>
      <c r="E9">
        <v>3500</v>
      </c>
      <c r="F9">
        <v>3500</v>
      </c>
      <c r="G9">
        <v>3500</v>
      </c>
      <c r="H9">
        <v>3500</v>
      </c>
      <c r="I9">
        <v>3500</v>
      </c>
      <c r="J9">
        <v>3500</v>
      </c>
      <c r="K9">
        <v>3500</v>
      </c>
      <c r="L9">
        <v>3500</v>
      </c>
    </row>
    <row r="12" spans="1:15" x14ac:dyDescent="0.25">
      <c r="A12" t="s">
        <v>10</v>
      </c>
      <c r="B12">
        <v>3.0253948303575702</v>
      </c>
    </row>
    <row r="13" spans="1:15" x14ac:dyDescent="0.25">
      <c r="A13" t="s">
        <v>12</v>
      </c>
      <c r="B13">
        <v>0</v>
      </c>
      <c r="C13">
        <v>6</v>
      </c>
      <c r="D13">
        <v>8</v>
      </c>
      <c r="E13">
        <v>10</v>
      </c>
      <c r="F13">
        <v>12</v>
      </c>
      <c r="G13">
        <v>14</v>
      </c>
      <c r="H13">
        <v>16</v>
      </c>
      <c r="I13">
        <v>18</v>
      </c>
      <c r="J13">
        <v>20</v>
      </c>
      <c r="K13">
        <v>22</v>
      </c>
      <c r="L13">
        <v>24</v>
      </c>
    </row>
    <row r="14" spans="1:15" x14ac:dyDescent="0.25">
      <c r="A14" t="s">
        <v>11</v>
      </c>
      <c r="B14" s="2">
        <f>_xlfn.FLOOR.MATH(((2*$B$19*$B$12^2*(B13/1000)^3*(26.75*10^7)^2)*10^-9)-0.0001,0.001)</f>
        <v>-1E-3</v>
      </c>
      <c r="C14" s="2">
        <f t="shared" ref="C14:O14" si="1">_xlfn.FLOOR.MATH(((2*$B$19*$B$12^2*(C13/1000)^3*(26.75*10^7)^2)*10^-9)-0.0001,0.001)</f>
        <v>0.23500000000000001</v>
      </c>
      <c r="D14" s="2">
        <f t="shared" si="1"/>
        <v>0.55800000000000005</v>
      </c>
      <c r="E14" s="2">
        <f t="shared" si="1"/>
        <v>1.091</v>
      </c>
      <c r="F14" s="2">
        <f t="shared" si="1"/>
        <v>1.8860000000000001</v>
      </c>
      <c r="G14" s="2">
        <f t="shared" si="1"/>
        <v>2.9950000000000001</v>
      </c>
      <c r="H14" s="2">
        <f t="shared" si="1"/>
        <v>4.47</v>
      </c>
      <c r="I14" s="2">
        <f t="shared" si="1"/>
        <v>6.3650000000000002</v>
      </c>
      <c r="J14" s="2">
        <f t="shared" si="1"/>
        <v>8.7319999999999993</v>
      </c>
      <c r="K14" s="2">
        <f t="shared" si="1"/>
        <v>11.622</v>
      </c>
      <c r="L14" s="2">
        <f t="shared" si="1"/>
        <v>15.089</v>
      </c>
      <c r="M14" s="2"/>
      <c r="N14" s="2"/>
      <c r="O14" s="2"/>
    </row>
    <row r="15" spans="1:15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5" x14ac:dyDescent="0.25">
      <c r="A16" t="s">
        <v>18</v>
      </c>
      <c r="B16">
        <v>5.3189247225993502E-3</v>
      </c>
    </row>
    <row r="17" spans="1:3" x14ac:dyDescent="0.25">
      <c r="A17" t="s">
        <v>16</v>
      </c>
      <c r="B17">
        <v>2.6641874202694101E-3</v>
      </c>
    </row>
    <row r="18" spans="1:3" x14ac:dyDescent="0.25">
      <c r="A18" t="s">
        <v>15</v>
      </c>
      <c r="B18">
        <v>1.60509321854446E-3</v>
      </c>
      <c r="C18" s="3"/>
    </row>
    <row r="19" spans="1:3" x14ac:dyDescent="0.25">
      <c r="A19" t="s">
        <v>14</v>
      </c>
      <c r="B19">
        <v>8.3328361684614598E-4</v>
      </c>
    </row>
    <row r="20" spans="1:3" x14ac:dyDescent="0.25">
      <c r="A20" t="s">
        <v>19</v>
      </c>
      <c r="B20">
        <v>4.9968411143480401E-4</v>
      </c>
    </row>
    <row r="21" spans="1:3" x14ac:dyDescent="0.25">
      <c r="A21" t="s">
        <v>13</v>
      </c>
      <c r="B21">
        <v>3.1985679748399202E-4</v>
      </c>
    </row>
  </sheetData>
  <phoneticPr fontId="1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9</cp:revision>
  <dcterms:created xsi:type="dcterms:W3CDTF">2021-12-22T15:39:36Z</dcterms:created>
  <dcterms:modified xsi:type="dcterms:W3CDTF">2023-03-03T08:50:15Z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